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unications" sheetId="1" state="visible" r:id="rId3"/>
    <sheet name="People" sheetId="2" state="visible" r:id="rId4"/>
    <sheet name="Weekly Dashboard" sheetId="3" state="visible" r:id="rId5"/>
    <sheet name="Work Stream Activity" sheetId="4" state="visible" r:id="rId6"/>
    <sheet name="Intelligence Log" sheetId="5" state="visible" r:id="rId7"/>
  </sheets>
  <definedNames>
    <definedName function="false" hidden="true" localSheetId="0" name="_xlnm._FilterDatabase" vbProcedure="false">Communications!$A$1:$Q$1</definedName>
    <definedName function="false" hidden="true" localSheetId="4" name="_xlnm._FilterDatabase" vbProcedure="false">'Intelligence Log'!$A$1:$H$1</definedName>
    <definedName function="false" hidden="true" localSheetId="1" name="_xlnm._FilterDatabase" vbProcedure="false">People!$A$1:$Q$1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<sst xmlns="http://schemas.openxmlformats.org/spreadsheetml/2006/main" count="86" uniqueCount="66">
  <si>
    <t xml:space="preserve">Name</t>
  </si>
  <si>
    <t xml:space="preserve">Organization</t>
  </si>
  <si>
    <t xml:space="preserve">Role / Title</t>
  </si>
  <si>
    <t xml:space="preserve">Contact (email, LinkedIn)</t>
  </si>
  <si>
    <t xml:space="preserve">Relationship Type</t>
  </si>
  <si>
    <t xml:space="preserve">Work Stream</t>
  </si>
  <si>
    <t xml:space="preserve">Project</t>
  </si>
  <si>
    <t xml:space="preserve">Channel</t>
  </si>
  <si>
    <t xml:space="preserve">Direction</t>
  </si>
  <si>
    <t xml:space="preserve">Status</t>
  </si>
  <si>
    <t xml:space="preserve">Date of Last Contact</t>
  </si>
  <si>
    <t xml:space="preserve">NOURISH Team POC</t>
  </si>
  <si>
    <t xml:space="preserve">Referred by / Source</t>
  </si>
  <si>
    <t xml:space="preserve">Follow-Up Date</t>
  </si>
  <si>
    <t xml:space="preserve">Next Step</t>
  </si>
  <si>
    <t xml:space="preserve">Follow-Up Notes</t>
  </si>
  <si>
    <t xml:space="preserve">Notes</t>
  </si>
  <si>
    <t xml:space="preserve">Contact (email)</t>
  </si>
  <si>
    <t xml:space="preserve">LinkedIn</t>
  </si>
  <si>
    <t xml:space="preserve">Phone</t>
  </si>
  <si>
    <t xml:space="preserve">Research Interests / Tags</t>
  </si>
  <si>
    <t xml:space="preserve">Last Contact Date</t>
  </si>
  <si>
    <t xml:space="preserve">Comms Count</t>
  </si>
  <si>
    <t xml:space="preserve">Health</t>
  </si>
  <si>
    <t xml:space="preserve">Days Since Contact</t>
  </si>
  <si>
    <t xml:space="preserve">Response Rate</t>
  </si>
  <si>
    <t xml:space="preserve">Key Context</t>
  </si>
  <si>
    <t xml:space="preserve">Recent Publications</t>
  </si>
  <si>
    <t xml:space="preserve">Collaboration Potential</t>
  </si>
  <si>
    <t xml:space="preserve">NOURISH Optimus — Weekly Dashboard</t>
  </si>
  <si>
    <t xml:space="preserve">Week of: [Auto-populated]</t>
  </si>
  <si>
    <t xml:space="preserve">ACTION ITEMS — Requires Your Response</t>
  </si>
  <si>
    <t xml:space="preserve">Priority</t>
  </si>
  <si>
    <t xml:space="preserve">Person</t>
  </si>
  <si>
    <t xml:space="preserve">Subject</t>
  </si>
  <si>
    <t xml:space="preserve">Days Waiting</t>
  </si>
  <si>
    <t xml:space="preserve">Due</t>
  </si>
  <si>
    <t xml:space="preserve">RELATIONSHIP HEALTH — Attention Needed</t>
  </si>
  <si>
    <t xml:space="preserve">Last Contact</t>
  </si>
  <si>
    <t xml:space="preserve">Days Ago</t>
  </si>
  <si>
    <t xml:space="preserve">Suggested Action</t>
  </si>
  <si>
    <t xml:space="preserve">COLLABORATION OPPORTUNITIES — Proactive Suggestions</t>
  </si>
  <si>
    <t xml:space="preserve">Their Recent Work</t>
  </si>
  <si>
    <t xml:space="preserve">NOURISH Match</t>
  </si>
  <si>
    <t xml:space="preserve">Confidence</t>
  </si>
  <si>
    <t xml:space="preserve">WEEKLY SUMMARY</t>
  </si>
  <si>
    <t xml:space="preserve">Total communications this week:</t>
  </si>
  <si>
    <t xml:space="preserve">New contacts added:</t>
  </si>
  <si>
    <t xml:space="preserve">Follow-ups completed:</t>
  </si>
  <si>
    <t xml:space="preserve">Follow-ups overdue:</t>
  </si>
  <si>
    <t xml:space="preserve">Meetings held:</t>
  </si>
  <si>
    <t xml:space="preserve">Emails awaiting response:</t>
  </si>
  <si>
    <t xml:space="preserve">NOURISH Work Stream Activity Tracker</t>
  </si>
  <si>
    <t xml:space="preserve">Active Contacts</t>
  </si>
  <si>
    <t xml:space="preserve">Pending Follow-Ups</t>
  </si>
  <si>
    <t xml:space="preserve">Meetings This Week</t>
  </si>
  <si>
    <t xml:space="preserve">Key Activity</t>
  </si>
  <si>
    <t xml:space="preserve">WS1: Partnerships and Sponsorships</t>
  </si>
  <si>
    <t xml:space="preserve">WS2: Education</t>
  </si>
  <si>
    <t xml:space="preserve">WS3: Research</t>
  </si>
  <si>
    <t xml:space="preserve">WS4: Website and Public Presence</t>
  </si>
  <si>
    <t xml:space="preserve">WS5: Program Management and Operating System</t>
  </si>
  <si>
    <t xml:space="preserve">Date</t>
  </si>
  <si>
    <t xml:space="preserve">Type</t>
  </si>
  <si>
    <t xml:space="preserve">Signal</t>
  </si>
  <si>
    <t xml:space="preserve">Outcome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</si>
</sst>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6"/>
      <color rgb="FF1B4332"/>
      <name val="Arial"/>
      <family val="0"/>
      <charset val="1"/>
    </font>
    <font>
      <sz val="12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4332"/>
      <name val="Arial"/>
      <family val="0"/>
      <charset val="1"/>
    </font>
    <font>
      <b val="true"/>
      <sz val="12"/>
      <color rgb="FF1B433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B433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4332"/>
        <bgColor rgb="FF333333"/>
      </patternFill>
    </fill>
    <fill>
      <patternFill patternType="solid">
        <fgColor rgb="FFD32F2F"/>
        <bgColor rgb="FF993366"/>
      </patternFill>
    </fill>
    <fill>
      <patternFill patternType="solid">
        <fgColor rgb="FFD8F3DC"/>
        <bgColor rgb="FFCCFFFF"/>
      </patternFill>
    </fill>
    <fill>
      <patternFill patternType="solid">
        <fgColor rgb="FFF57C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433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5D5B2"/>
      <rgbColor rgb="FFFF99CC"/>
      <rgbColor rgb="FFCC99FF"/>
      <rgbColor rgb="FFFFCC99"/>
      <rgbColor rgb="FF3366FF"/>
      <rgbColor rgb="FF52B788"/>
      <rgbColor rgb="FF99CC00"/>
      <rgbColor rgb="FFFFCC00"/>
      <rgbColor rgb="FFFF9900"/>
      <rgbColor rgb="FFF57C00"/>
      <rgbColor rgb="FF666666"/>
      <rgbColor rgb="FF969696"/>
      <rgbColor rgb="FF003366"/>
      <rgbColor rgb="FF40916C"/>
      <rgbColor rgb="FF003300"/>
      <rgbColor rgb="FF1B4332"/>
      <rgbColor rgb="FFD32F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332"/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24"/>
    <col collapsed="false" customWidth="true" hidden="false" outlineLevel="0" max="12" min="11" style="0" width="16"/>
    <col collapsed="false" customWidth="true" hidden="false" outlineLevel="0" max="13" min="13" style="0" width="20"/>
    <col collapsed="false" customWidth="true" hidden="false" outlineLevel="0" max="14" min="14" style="0" width="14"/>
    <col collapsed="false" customWidth="true" hidden="false" outlineLevel="0" max="15" min="15" style="0" width="30"/>
    <col collapsed="false" customWidth="true" hidden="false" outlineLevel="0" max="17" min="16" style="0" width="3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</sheetData>
  <autoFilter ref="A1:Q1"/>
  <dataValidations count="6">
    <dataValidation allowBlank="true" errorStyle="stop" operator="between" prompt="Select relationship type" showDropDown="false" showErrorMessage="false" showInputMessage="false" sqref="E2:E1000" type="list">
      <formula1>"Collaborator,Advisor,Funder,Institutional Partner,Student/Intern,Vendor,Government,Other"</formula1>
      <formula2>0</formula2>
    </dataValidation>
    <dataValidation allowBlank="true" errorStyle="stop" operator="between" showDropDown="false" showErrorMessage="false" showInputMessage="false" sqref="F2:F1000" type="list">
      <formula1>"WS1: Partnerships,WS2: Education,WS3: Research,WS4: Website,WS5: Program Management"</formula1>
      <formula2>0</formula2>
    </dataValidation>
    <dataValidation allowBlank="true" errorStyle="stop" operator="between" showDropDown="false" showErrorMessage="false" showInputMessage="false" sqref="H2:H1000" type="list">
      <formula1>"Email,Meeting,Call,Message,In-Person,Conference"</formula1>
      <formula2>0</formula2>
    </dataValidation>
    <dataValidation allowBlank="true" errorStyle="stop" operator="between" showDropDown="false" showErrorMessage="false" showInputMessage="false" sqref="I2:I1000" type="list">
      <formula1>"Inbound,Outbound,Mutual"</formula1>
      <formula2>0</formula2>
    </dataValidation>
    <dataValidation allowBlank="true" errorStyle="stop" operator="between" showDropDown="false" showErrorMessage="false" showInputMessage="false" sqref="J2:J1000" type="list">
      <formula1>"Initial Outreach Sent,Awaiting Response,Response Received,Meeting Scheduled,Meeting Done,Follow-Up Sent,Follow-Up Needed,Active Relationship,Dormant,No Response (Cold)"</formula1>
      <formula2>0</formula2>
    </dataValidation>
    <dataValidation allowBlank="true" errorStyle="stop" operator="between" prompt="Add NOURISH team names here" showDropDown="false" showErrorMessage="false" showInputMessage="false" sqref="L2:L1000" type="list">
      <formula1>"Stefan,TBD"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Q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5" min="4" style="0" width="2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8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6" min="15" style="0" width="35"/>
    <col collapsed="false" customWidth="true" hidden="false" outlineLevel="0" max="17" min="17" style="0" width="3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4</v>
      </c>
      <c r="H1" s="1" t="s">
        <v>5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 t="str">
        <f aca="false">IF(M2="","",IF(M2&lt;=14,"Green",IF(M2&lt;=30,"Yellow","Red")))</f>
        <v/>
      </c>
      <c r="M2" s="2" t="str">
        <f aca="true">IF(J2="","",TODAY()-J2)</f>
        <v/>
      </c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 t="str">
        <f aca="false">IF(M3="","",IF(M3&lt;=14,"Green",IF(M3&lt;=30,"Yellow","Red")))</f>
        <v/>
      </c>
      <c r="M3" s="2" t="str">
        <f aca="true">IF(J3="","",TODAY()-J3)</f>
        <v/>
      </c>
      <c r="N3" s="2"/>
      <c r="O3" s="2"/>
      <c r="P3" s="2"/>
      <c r="Q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 t="str">
        <f aca="false">IF(M4="","",IF(M4&lt;=14,"Green",IF(M4&lt;=30,"Yellow","Red")))</f>
        <v/>
      </c>
      <c r="M4" s="2" t="str">
        <f aca="true">IF(J4="","",TODAY()-J4)</f>
        <v/>
      </c>
      <c r="N4" s="2"/>
      <c r="O4" s="2"/>
      <c r="P4" s="2"/>
      <c r="Q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 t="str">
        <f aca="false">IF(M5="","",IF(M5&lt;=14,"Green",IF(M5&lt;=30,"Yellow","Red")))</f>
        <v/>
      </c>
      <c r="M5" s="2" t="str">
        <f aca="true">IF(J5="","",TODAY()-J5)</f>
        <v/>
      </c>
      <c r="N5" s="2"/>
      <c r="O5" s="2"/>
      <c r="P5" s="2"/>
      <c r="Q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 t="str">
        <f aca="false">IF(M6="","",IF(M6&lt;=14,"Green",IF(M6&lt;=30,"Yellow","Red")))</f>
        <v/>
      </c>
      <c r="M6" s="2" t="str">
        <f aca="true">IF(J6="","",TODAY()-J6)</f>
        <v/>
      </c>
      <c r="N6" s="2"/>
      <c r="O6" s="2"/>
      <c r="P6" s="2"/>
      <c r="Q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 t="str">
        <f aca="false">IF(M7="","",IF(M7&lt;=14,"Green",IF(M7&lt;=30,"Yellow","Red")))</f>
        <v/>
      </c>
      <c r="M7" s="2" t="str">
        <f aca="true">IF(J7="","",TODAY()-J7)</f>
        <v/>
      </c>
      <c r="N7" s="2"/>
      <c r="O7" s="2"/>
      <c r="P7" s="2"/>
      <c r="Q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 t="str">
        <f aca="false">IF(M8="","",IF(M8&lt;=14,"Green",IF(M8&lt;=30,"Yellow","Red")))</f>
        <v/>
      </c>
      <c r="M8" s="2" t="str">
        <f aca="true">IF(J8="","",TODAY()-J8)</f>
        <v/>
      </c>
      <c r="N8" s="2"/>
      <c r="O8" s="2"/>
      <c r="P8" s="2"/>
      <c r="Q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 t="str">
        <f aca="false">IF(M9="","",IF(M9&lt;=14,"Green",IF(M9&lt;=30,"Yellow","Red")))</f>
        <v/>
      </c>
      <c r="M9" s="2" t="str">
        <f aca="true">IF(J9="","",TODAY()-J9)</f>
        <v/>
      </c>
      <c r="N9" s="2"/>
      <c r="O9" s="2"/>
      <c r="P9" s="2"/>
      <c r="Q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 t="str">
        <f aca="false">IF(M10="","",IF(M10&lt;=14,"Green",IF(M10&lt;=30,"Yellow","Red")))</f>
        <v/>
      </c>
      <c r="M10" s="2" t="str">
        <f aca="true">IF(J10="","",TODAY()-J10)</f>
        <v/>
      </c>
      <c r="N10" s="2"/>
      <c r="O10" s="2"/>
      <c r="P10" s="2"/>
      <c r="Q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 t="str">
        <f aca="false">IF(M11="","",IF(M11&lt;=14,"Green",IF(M11&lt;=30,"Yellow","Red")))</f>
        <v/>
      </c>
      <c r="M11" s="2" t="str">
        <f aca="true">IF(J11="","",TODAY()-J11)</f>
        <v/>
      </c>
      <c r="N11" s="2"/>
      <c r="O11" s="2"/>
      <c r="P11" s="2"/>
      <c r="Q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 t="str">
        <f aca="false">IF(M12="","",IF(M12&lt;=14,"Green",IF(M12&lt;=30,"Yellow","Red")))</f>
        <v/>
      </c>
      <c r="M12" s="2" t="str">
        <f aca="true">IF(J12="","",TODAY()-J12)</f>
        <v/>
      </c>
      <c r="N12" s="2"/>
      <c r="O12" s="2"/>
      <c r="P12" s="2"/>
      <c r="Q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 t="str">
        <f aca="false">IF(M13="","",IF(M13&lt;=14,"Green",IF(M13&lt;=30,"Yellow","Red")))</f>
        <v/>
      </c>
      <c r="M13" s="2" t="str">
        <f aca="true">IF(J13="","",TODAY()-J13)</f>
        <v/>
      </c>
      <c r="N13" s="2"/>
      <c r="O13" s="2"/>
      <c r="P13" s="2"/>
      <c r="Q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 t="str">
        <f aca="false">IF(M14="","",IF(M14&lt;=14,"Green",IF(M14&lt;=30,"Yellow","Red")))</f>
        <v/>
      </c>
      <c r="M14" s="2" t="str">
        <f aca="true">IF(J14="","",TODAY()-J14)</f>
        <v/>
      </c>
      <c r="N14" s="2"/>
      <c r="O14" s="2"/>
      <c r="P14" s="2"/>
      <c r="Q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 t="str">
        <f aca="false">IF(M15="","",IF(M15&lt;=14,"Green",IF(M15&lt;=30,"Yellow","Red")))</f>
        <v/>
      </c>
      <c r="M15" s="2" t="str">
        <f aca="true">IF(J15="","",TODAY()-J15)</f>
        <v/>
      </c>
      <c r="N15" s="2"/>
      <c r="O15" s="2"/>
      <c r="P15" s="2"/>
      <c r="Q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 t="str">
        <f aca="false">IF(M16="","",IF(M16&lt;=14,"Green",IF(M16&lt;=30,"Yellow","Red")))</f>
        <v/>
      </c>
      <c r="M16" s="2" t="str">
        <f aca="true">IF(J16="","",TODAY()-J16)</f>
        <v/>
      </c>
      <c r="N16" s="2"/>
      <c r="O16" s="2"/>
      <c r="P16" s="2"/>
      <c r="Q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 t="str">
        <f aca="false">IF(M17="","",IF(M17&lt;=14,"Green",IF(M17&lt;=30,"Yellow","Red")))</f>
        <v/>
      </c>
      <c r="M17" s="2" t="str">
        <f aca="true">IF(J17="","",TODAY()-J17)</f>
        <v/>
      </c>
      <c r="N17" s="2"/>
      <c r="O17" s="2"/>
      <c r="P17" s="2"/>
      <c r="Q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 t="str">
        <f aca="false">IF(M18="","",IF(M18&lt;=14,"Green",IF(M18&lt;=30,"Yellow","Red")))</f>
        <v/>
      </c>
      <c r="M18" s="2" t="str">
        <f aca="true">IF(J18="","",TODAY()-J18)</f>
        <v/>
      </c>
      <c r="N18" s="2"/>
      <c r="O18" s="2"/>
      <c r="P18" s="2"/>
      <c r="Q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 t="str">
        <f aca="false">IF(M19="","",IF(M19&lt;=14,"Green",IF(M19&lt;=30,"Yellow","Red")))</f>
        <v/>
      </c>
      <c r="M19" s="2" t="str">
        <f aca="true">IF(J19="","",TODAY()-J19)</f>
        <v/>
      </c>
      <c r="N19" s="2"/>
      <c r="O19" s="2"/>
      <c r="P19" s="2"/>
      <c r="Q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 t="str">
        <f aca="false">IF(M20="","",IF(M20&lt;=14,"Green",IF(M20&lt;=30,"Yellow","Red")))</f>
        <v/>
      </c>
      <c r="M20" s="2" t="str">
        <f aca="true">IF(J20="","",TODAY()-J20)</f>
        <v/>
      </c>
      <c r="N20" s="2"/>
      <c r="O20" s="2"/>
      <c r="P20" s="2"/>
      <c r="Q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 t="str">
        <f aca="false">IF(M21="","",IF(M21&lt;=14,"Green",IF(M21&lt;=30,"Yellow","Red")))</f>
        <v/>
      </c>
      <c r="M21" s="2" t="str">
        <f aca="true">IF(J21="","",TODAY()-J21)</f>
        <v/>
      </c>
      <c r="N21" s="2"/>
      <c r="O21" s="2"/>
      <c r="P21" s="2"/>
      <c r="Q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 t="str">
        <f aca="false">IF(M22="","",IF(M22&lt;=14,"Green",IF(M22&lt;=30,"Yellow","Red")))</f>
        <v/>
      </c>
      <c r="M22" s="2" t="str">
        <f aca="true">IF(J22="","",TODAY()-J22)</f>
        <v/>
      </c>
      <c r="N22" s="2"/>
      <c r="O22" s="2"/>
      <c r="P22" s="2"/>
      <c r="Q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 t="str">
        <f aca="false">IF(M23="","",IF(M23&lt;=14,"Green",IF(M23&lt;=30,"Yellow","Red")))</f>
        <v/>
      </c>
      <c r="M23" s="2" t="str">
        <f aca="true">IF(J23="","",TODAY()-J23)</f>
        <v/>
      </c>
      <c r="N23" s="2"/>
      <c r="O23" s="2"/>
      <c r="P23" s="2"/>
      <c r="Q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 t="str">
        <f aca="false">IF(M24="","",IF(M24&lt;=14,"Green",IF(M24&lt;=30,"Yellow","Red")))</f>
        <v/>
      </c>
      <c r="M24" s="2" t="str">
        <f aca="true">IF(J24="","",TODAY()-J24)</f>
        <v/>
      </c>
      <c r="N24" s="2"/>
      <c r="O24" s="2"/>
      <c r="P24" s="2"/>
      <c r="Q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 t="str">
        <f aca="false">IF(M25="","",IF(M25&lt;=14,"Green",IF(M25&lt;=30,"Yellow","Red")))</f>
        <v/>
      </c>
      <c r="M25" s="2" t="str">
        <f aca="true">IF(J25="","",TODAY()-J25)</f>
        <v/>
      </c>
      <c r="N25" s="2"/>
      <c r="O25" s="2"/>
      <c r="P25" s="2"/>
      <c r="Q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 t="str">
        <f aca="false">IF(M26="","",IF(M26&lt;=14,"Green",IF(M26&lt;=30,"Yellow","Red")))</f>
        <v/>
      </c>
      <c r="M26" s="2" t="str">
        <f aca="true">IF(J26="","",TODAY()-J26)</f>
        <v/>
      </c>
      <c r="N26" s="2"/>
      <c r="O26" s="2"/>
      <c r="P26" s="2"/>
      <c r="Q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 t="str">
        <f aca="false">IF(M27="","",IF(M27&lt;=14,"Green",IF(M27&lt;=30,"Yellow","Red")))</f>
        <v/>
      </c>
      <c r="M27" s="2" t="str">
        <f aca="true">IF(J27="","",TODAY()-J27)</f>
        <v/>
      </c>
      <c r="N27" s="2"/>
      <c r="O27" s="2"/>
      <c r="P27" s="2"/>
      <c r="Q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 t="str">
        <f aca="false">IF(M28="","",IF(M28&lt;=14,"Green",IF(M28&lt;=30,"Yellow","Red")))</f>
        <v/>
      </c>
      <c r="M28" s="2" t="str">
        <f aca="true">IF(J28="","",TODAY()-J28)</f>
        <v/>
      </c>
      <c r="N28" s="2"/>
      <c r="O28" s="2"/>
      <c r="P28" s="2"/>
      <c r="Q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 t="str">
        <f aca="false">IF(M29="","",IF(M29&lt;=14,"Green",IF(M29&lt;=30,"Yellow","Red")))</f>
        <v/>
      </c>
      <c r="M29" s="2" t="str">
        <f aca="true">IF(J29="","",TODAY()-J29)</f>
        <v/>
      </c>
      <c r="N29" s="2"/>
      <c r="O29" s="2"/>
      <c r="P29" s="2"/>
      <c r="Q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tr">
        <f aca="false">IF(M30="","",IF(M30&lt;=14,"Green",IF(M30&lt;=30,"Yellow","Red")))</f>
        <v/>
      </c>
      <c r="M30" s="2" t="str">
        <f aca="true">IF(J30="","",TODAY()-J30)</f>
        <v/>
      </c>
      <c r="N30" s="2"/>
      <c r="O30" s="2"/>
      <c r="P30" s="2"/>
      <c r="Q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 t="str">
        <f aca="false">IF(M31="","",IF(M31&lt;=14,"Green",IF(M31&lt;=30,"Yellow","Red")))</f>
        <v/>
      </c>
      <c r="M31" s="2" t="str">
        <f aca="true">IF(J31="","",TODAY()-J31)</f>
        <v/>
      </c>
      <c r="N31" s="2"/>
      <c r="O31" s="2"/>
      <c r="P31" s="2"/>
      <c r="Q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 t="str">
        <f aca="false">IF(M32="","",IF(M32&lt;=14,"Green",IF(M32&lt;=30,"Yellow","Red")))</f>
        <v/>
      </c>
      <c r="M32" s="2" t="str">
        <f aca="true">IF(J32="","",TODAY()-J32)</f>
        <v/>
      </c>
      <c r="N32" s="2"/>
      <c r="O32" s="2"/>
      <c r="P32" s="2"/>
      <c r="Q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 t="str">
        <f aca="false">IF(M33="","",IF(M33&lt;=14,"Green",IF(M33&lt;=30,"Yellow","Red")))</f>
        <v/>
      </c>
      <c r="M33" s="2" t="str">
        <f aca="true">IF(J33="","",TODAY()-J33)</f>
        <v/>
      </c>
      <c r="N33" s="2"/>
      <c r="O33" s="2"/>
      <c r="P33" s="2"/>
      <c r="Q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 t="str">
        <f aca="false">IF(M34="","",IF(M34&lt;=14,"Green",IF(M34&lt;=30,"Yellow","Red")))</f>
        <v/>
      </c>
      <c r="M34" s="2" t="str">
        <f aca="true">IF(J34="","",TODAY()-J34)</f>
        <v/>
      </c>
      <c r="N34" s="2"/>
      <c r="O34" s="2"/>
      <c r="P34" s="2"/>
      <c r="Q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 t="str">
        <f aca="false">IF(M35="","",IF(M35&lt;=14,"Green",IF(M35&lt;=30,"Yellow","Red")))</f>
        <v/>
      </c>
      <c r="M35" s="2" t="str">
        <f aca="true">IF(J35="","",TODAY()-J35)</f>
        <v/>
      </c>
      <c r="N35" s="2"/>
      <c r="O35" s="2"/>
      <c r="P35" s="2"/>
      <c r="Q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 t="str">
        <f aca="false">IF(M36="","",IF(M36&lt;=14,"Green",IF(M36&lt;=30,"Yellow","Red")))</f>
        <v/>
      </c>
      <c r="M36" s="2" t="str">
        <f aca="true">IF(J36="","",TODAY()-J36)</f>
        <v/>
      </c>
      <c r="N36" s="2"/>
      <c r="O36" s="2"/>
      <c r="P36" s="2"/>
      <c r="Q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 t="str">
        <f aca="false">IF(M37="","",IF(M37&lt;=14,"Green",IF(M37&lt;=30,"Yellow","Red")))</f>
        <v/>
      </c>
      <c r="M37" s="2" t="str">
        <f aca="true">IF(J37="","",TODAY()-J37)</f>
        <v/>
      </c>
      <c r="N37" s="2"/>
      <c r="O37" s="2"/>
      <c r="P37" s="2"/>
      <c r="Q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 t="str">
        <f aca="false">IF(M38="","",IF(M38&lt;=14,"Green",IF(M38&lt;=30,"Yellow","Red")))</f>
        <v/>
      </c>
      <c r="M38" s="2" t="str">
        <f aca="true">IF(J38="","",TODAY()-J38)</f>
        <v/>
      </c>
      <c r="N38" s="2"/>
      <c r="O38" s="2"/>
      <c r="P38" s="2"/>
      <c r="Q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 t="str">
        <f aca="false">IF(M39="","",IF(M39&lt;=14,"Green",IF(M39&lt;=30,"Yellow","Red")))</f>
        <v/>
      </c>
      <c r="M39" s="2" t="str">
        <f aca="true">IF(J39="","",TODAY()-J39)</f>
        <v/>
      </c>
      <c r="N39" s="2"/>
      <c r="O39" s="2"/>
      <c r="P39" s="2"/>
      <c r="Q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 t="str">
        <f aca="false">IF(M40="","",IF(M40&lt;=14,"Green",IF(M40&lt;=30,"Yellow","Red")))</f>
        <v/>
      </c>
      <c r="M40" s="2" t="str">
        <f aca="true">IF(J40="","",TODAY()-J40)</f>
        <v/>
      </c>
      <c r="N40" s="2"/>
      <c r="O40" s="2"/>
      <c r="P40" s="2"/>
      <c r="Q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 t="str">
        <f aca="false">IF(M41="","",IF(M41&lt;=14,"Green",IF(M41&lt;=30,"Yellow","Red")))</f>
        <v/>
      </c>
      <c r="M41" s="2" t="str">
        <f aca="true">IF(J41="","",TODAY()-J41)</f>
        <v/>
      </c>
      <c r="N41" s="2"/>
      <c r="O41" s="2"/>
      <c r="P41" s="2"/>
      <c r="Q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 t="str">
        <f aca="false">IF(M42="","",IF(M42&lt;=14,"Green",IF(M42&lt;=30,"Yellow","Red")))</f>
        <v/>
      </c>
      <c r="M42" s="2" t="str">
        <f aca="true">IF(J42="","",TODAY()-J42)</f>
        <v/>
      </c>
      <c r="N42" s="2"/>
      <c r="O42" s="2"/>
      <c r="P42" s="2"/>
      <c r="Q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 t="str">
        <f aca="false">IF(M43="","",IF(M43&lt;=14,"Green",IF(M43&lt;=30,"Yellow","Red")))</f>
        <v/>
      </c>
      <c r="M43" s="2" t="str">
        <f aca="true">IF(J43="","",TODAY()-J43)</f>
        <v/>
      </c>
      <c r="N43" s="2"/>
      <c r="O43" s="2"/>
      <c r="P43" s="2"/>
      <c r="Q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 t="str">
        <f aca="false">IF(M44="","",IF(M44&lt;=14,"Green",IF(M44&lt;=30,"Yellow","Red")))</f>
        <v/>
      </c>
      <c r="M44" s="2" t="str">
        <f aca="true">IF(J44="","",TODAY()-J44)</f>
        <v/>
      </c>
      <c r="N44" s="2"/>
      <c r="O44" s="2"/>
      <c r="P44" s="2"/>
      <c r="Q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 t="str">
        <f aca="false">IF(M45="","",IF(M45&lt;=14,"Green",IF(M45&lt;=30,"Yellow","Red")))</f>
        <v/>
      </c>
      <c r="M45" s="2" t="str">
        <f aca="true">IF(J45="","",TODAY()-J45)</f>
        <v/>
      </c>
      <c r="N45" s="2"/>
      <c r="O45" s="2"/>
      <c r="P45" s="2"/>
      <c r="Q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 t="str">
        <f aca="false">IF(M46="","",IF(M46&lt;=14,"Green",IF(M46&lt;=30,"Yellow","Red")))</f>
        <v/>
      </c>
      <c r="M46" s="2" t="str">
        <f aca="true">IF(J46="","",TODAY()-J46)</f>
        <v/>
      </c>
      <c r="N46" s="2"/>
      <c r="O46" s="2"/>
      <c r="P46" s="2"/>
      <c r="Q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 t="str">
        <f aca="false">IF(M47="","",IF(M47&lt;=14,"Green",IF(M47&lt;=30,"Yellow","Red")))</f>
        <v/>
      </c>
      <c r="M47" s="2" t="str">
        <f aca="true">IF(J47="","",TODAY()-J47)</f>
        <v/>
      </c>
      <c r="N47" s="2"/>
      <c r="O47" s="2"/>
      <c r="P47" s="2"/>
      <c r="Q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 t="str">
        <f aca="false">IF(M48="","",IF(M48&lt;=14,"Green",IF(M48&lt;=30,"Yellow","Red")))</f>
        <v/>
      </c>
      <c r="M48" s="2" t="str">
        <f aca="true">IF(J48="","",TODAY()-J48)</f>
        <v/>
      </c>
      <c r="N48" s="2"/>
      <c r="O48" s="2"/>
      <c r="P48" s="2"/>
      <c r="Q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 t="str">
        <f aca="false">IF(M49="","",IF(M49&lt;=14,"Green",IF(M49&lt;=30,"Yellow","Red")))</f>
        <v/>
      </c>
      <c r="M49" s="2" t="str">
        <f aca="true">IF(J49="","",TODAY()-J49)</f>
        <v/>
      </c>
      <c r="N49" s="2"/>
      <c r="O49" s="2"/>
      <c r="P49" s="2"/>
      <c r="Q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 t="str">
        <f aca="false">IF(M50="","",IF(M50&lt;=14,"Green",IF(M50&lt;=30,"Yellow","Red")))</f>
        <v/>
      </c>
      <c r="M50" s="2" t="str">
        <f aca="true">IF(J50="","",TODAY()-J50)</f>
        <v/>
      </c>
      <c r="N50" s="2"/>
      <c r="O50" s="2"/>
      <c r="P50" s="2"/>
      <c r="Q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 t="str">
        <f aca="false">IF(M51="","",IF(M51&lt;=14,"Green",IF(M51&lt;=30,"Yellow","Red")))</f>
        <v/>
      </c>
      <c r="M51" s="2" t="str">
        <f aca="true">IF(J51="","",TODAY()-J51)</f>
        <v/>
      </c>
      <c r="N51" s="2"/>
      <c r="O51" s="2"/>
      <c r="P51" s="2"/>
      <c r="Q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 t="str">
        <f aca="false">IF(M52="","",IF(M52&lt;=14,"Green",IF(M52&lt;=30,"Yellow","Red")))</f>
        <v/>
      </c>
      <c r="M52" s="2" t="str">
        <f aca="true">IF(J52="","",TODAY()-J52)</f>
        <v/>
      </c>
      <c r="N52" s="2"/>
      <c r="O52" s="2"/>
      <c r="P52" s="2"/>
      <c r="Q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 t="str">
        <f aca="false">IF(M53="","",IF(M53&lt;=14,"Green",IF(M53&lt;=30,"Yellow","Red")))</f>
        <v/>
      </c>
      <c r="M53" s="2" t="str">
        <f aca="true">IF(J53="","",TODAY()-J53)</f>
        <v/>
      </c>
      <c r="N53" s="2"/>
      <c r="O53" s="2"/>
      <c r="P53" s="2"/>
      <c r="Q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 t="str">
        <f aca="false">IF(M54="","",IF(M54&lt;=14,"Green",IF(M54&lt;=30,"Yellow","Red")))</f>
        <v/>
      </c>
      <c r="M54" s="2" t="str">
        <f aca="true">IF(J54="","",TODAY()-J54)</f>
        <v/>
      </c>
      <c r="N54" s="2"/>
      <c r="O54" s="2"/>
      <c r="P54" s="2"/>
      <c r="Q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 t="str">
        <f aca="false">IF(M55="","",IF(M55&lt;=14,"Green",IF(M55&lt;=30,"Yellow","Red")))</f>
        <v/>
      </c>
      <c r="M55" s="2" t="str">
        <f aca="true">IF(J55="","",TODAY()-J55)</f>
        <v/>
      </c>
      <c r="N55" s="2"/>
      <c r="O55" s="2"/>
      <c r="P55" s="2"/>
      <c r="Q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 t="str">
        <f aca="false">IF(M56="","",IF(M56&lt;=14,"Green",IF(M56&lt;=30,"Yellow","Red")))</f>
        <v/>
      </c>
      <c r="M56" s="2" t="str">
        <f aca="true">IF(J56="","",TODAY()-J56)</f>
        <v/>
      </c>
      <c r="N56" s="2"/>
      <c r="O56" s="2"/>
      <c r="P56" s="2"/>
      <c r="Q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 t="str">
        <f aca="false">IF(M57="","",IF(M57&lt;=14,"Green",IF(M57&lt;=30,"Yellow","Red")))</f>
        <v/>
      </c>
      <c r="M57" s="2" t="str">
        <f aca="true">IF(J57="","",TODAY()-J57)</f>
        <v/>
      </c>
      <c r="N57" s="2"/>
      <c r="O57" s="2"/>
      <c r="P57" s="2"/>
      <c r="Q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 t="str">
        <f aca="false">IF(M58="","",IF(M58&lt;=14,"Green",IF(M58&lt;=30,"Yellow","Red")))</f>
        <v/>
      </c>
      <c r="M58" s="2" t="str">
        <f aca="true">IF(J58="","",TODAY()-J58)</f>
        <v/>
      </c>
      <c r="N58" s="2"/>
      <c r="O58" s="2"/>
      <c r="P58" s="2"/>
      <c r="Q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 t="str">
        <f aca="false">IF(M59="","",IF(M59&lt;=14,"Green",IF(M59&lt;=30,"Yellow","Red")))</f>
        <v/>
      </c>
      <c r="M59" s="2" t="str">
        <f aca="true">IF(J59="","",TODAY()-J59)</f>
        <v/>
      </c>
      <c r="N59" s="2"/>
      <c r="O59" s="2"/>
      <c r="P59" s="2"/>
      <c r="Q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 t="str">
        <f aca="false">IF(M60="","",IF(M60&lt;=14,"Green",IF(M60&lt;=30,"Yellow","Red")))</f>
        <v/>
      </c>
      <c r="M60" s="2" t="str">
        <f aca="true">IF(J60="","",TODAY()-J60)</f>
        <v/>
      </c>
      <c r="N60" s="2"/>
      <c r="O60" s="2"/>
      <c r="P60" s="2"/>
      <c r="Q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 t="str">
        <f aca="false">IF(M61="","",IF(M61&lt;=14,"Green",IF(M61&lt;=30,"Yellow","Red")))</f>
        <v/>
      </c>
      <c r="M61" s="2" t="str">
        <f aca="true">IF(J61="","",TODAY()-J61)</f>
        <v/>
      </c>
      <c r="N61" s="2"/>
      <c r="O61" s="2"/>
      <c r="P61" s="2"/>
      <c r="Q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 t="str">
        <f aca="false">IF(M62="","",IF(M62&lt;=14,"Green",IF(M62&lt;=30,"Yellow","Red")))</f>
        <v/>
      </c>
      <c r="M62" s="2" t="str">
        <f aca="true">IF(J62="","",TODAY()-J62)</f>
        <v/>
      </c>
      <c r="N62" s="2"/>
      <c r="O62" s="2"/>
      <c r="P62" s="2"/>
      <c r="Q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 t="str">
        <f aca="false">IF(M63="","",IF(M63&lt;=14,"Green",IF(M63&lt;=30,"Yellow","Red")))</f>
        <v/>
      </c>
      <c r="M63" s="2" t="str">
        <f aca="true">IF(J63="","",TODAY()-J63)</f>
        <v/>
      </c>
      <c r="N63" s="2"/>
      <c r="O63" s="2"/>
      <c r="P63" s="2"/>
      <c r="Q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 t="str">
        <f aca="false">IF(M64="","",IF(M64&lt;=14,"Green",IF(M64&lt;=30,"Yellow","Red")))</f>
        <v/>
      </c>
      <c r="M64" s="2" t="str">
        <f aca="true">IF(J64="","",TODAY()-J64)</f>
        <v/>
      </c>
      <c r="N64" s="2"/>
      <c r="O64" s="2"/>
      <c r="P64" s="2"/>
      <c r="Q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 t="str">
        <f aca="false">IF(M65="","",IF(M65&lt;=14,"Green",IF(M65&lt;=30,"Yellow","Red")))</f>
        <v/>
      </c>
      <c r="M65" s="2" t="str">
        <f aca="true">IF(J65="","",TODAY()-J65)</f>
        <v/>
      </c>
      <c r="N65" s="2"/>
      <c r="O65" s="2"/>
      <c r="P65" s="2"/>
      <c r="Q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 t="str">
        <f aca="false">IF(M66="","",IF(M66&lt;=14,"Green",IF(M66&lt;=30,"Yellow","Red")))</f>
        <v/>
      </c>
      <c r="M66" s="2" t="str">
        <f aca="true">IF(J66="","",TODAY()-J66)</f>
        <v/>
      </c>
      <c r="N66" s="2"/>
      <c r="O66" s="2"/>
      <c r="P66" s="2"/>
      <c r="Q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 t="str">
        <f aca="false">IF(M67="","",IF(M67&lt;=14,"Green",IF(M67&lt;=30,"Yellow","Red")))</f>
        <v/>
      </c>
      <c r="M67" s="2" t="str">
        <f aca="true">IF(J67="","",TODAY()-J67)</f>
        <v/>
      </c>
      <c r="N67" s="2"/>
      <c r="O67" s="2"/>
      <c r="P67" s="2"/>
      <c r="Q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 t="str">
        <f aca="false">IF(M68="","",IF(M68&lt;=14,"Green",IF(M68&lt;=30,"Yellow","Red")))</f>
        <v/>
      </c>
      <c r="M68" s="2" t="str">
        <f aca="true">IF(J68="","",TODAY()-J68)</f>
        <v/>
      </c>
      <c r="N68" s="2"/>
      <c r="O68" s="2"/>
      <c r="P68" s="2"/>
      <c r="Q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 t="str">
        <f aca="false">IF(M69="","",IF(M69&lt;=14,"Green",IF(M69&lt;=30,"Yellow","Red")))</f>
        <v/>
      </c>
      <c r="M69" s="2" t="str">
        <f aca="true">IF(J69="","",TODAY()-J69)</f>
        <v/>
      </c>
      <c r="N69" s="2"/>
      <c r="O69" s="2"/>
      <c r="P69" s="2"/>
      <c r="Q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 t="str">
        <f aca="false">IF(M70="","",IF(M70&lt;=14,"Green",IF(M70&lt;=30,"Yellow","Red")))</f>
        <v/>
      </c>
      <c r="M70" s="2" t="str">
        <f aca="true">IF(J70="","",TODAY()-J70)</f>
        <v/>
      </c>
      <c r="N70" s="2"/>
      <c r="O70" s="2"/>
      <c r="P70" s="2"/>
      <c r="Q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 t="str">
        <f aca="false">IF(M71="","",IF(M71&lt;=14,"Green",IF(M71&lt;=30,"Yellow","Red")))</f>
        <v/>
      </c>
      <c r="M71" s="2" t="str">
        <f aca="true">IF(J71="","",TODAY()-J71)</f>
        <v/>
      </c>
      <c r="N71" s="2"/>
      <c r="O71" s="2"/>
      <c r="P71" s="2"/>
      <c r="Q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 t="str">
        <f aca="false">IF(M72="","",IF(M72&lt;=14,"Green",IF(M72&lt;=30,"Yellow","Red")))</f>
        <v/>
      </c>
      <c r="M72" s="2" t="str">
        <f aca="true">IF(J72="","",TODAY()-J72)</f>
        <v/>
      </c>
      <c r="N72" s="2"/>
      <c r="O72" s="2"/>
      <c r="P72" s="2"/>
      <c r="Q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 t="str">
        <f aca="false">IF(M73="","",IF(M73&lt;=14,"Green",IF(M73&lt;=30,"Yellow","Red")))</f>
        <v/>
      </c>
      <c r="M73" s="2" t="str">
        <f aca="true">IF(J73="","",TODAY()-J73)</f>
        <v/>
      </c>
      <c r="N73" s="2"/>
      <c r="O73" s="2"/>
      <c r="P73" s="2"/>
      <c r="Q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 t="str">
        <f aca="false">IF(M74="","",IF(M74&lt;=14,"Green",IF(M74&lt;=30,"Yellow","Red")))</f>
        <v/>
      </c>
      <c r="M74" s="2" t="str">
        <f aca="true">IF(J74="","",TODAY()-J74)</f>
        <v/>
      </c>
      <c r="N74" s="2"/>
      <c r="O74" s="2"/>
      <c r="P74" s="2"/>
      <c r="Q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 t="str">
        <f aca="false">IF(M75="","",IF(M75&lt;=14,"Green",IF(M75&lt;=30,"Yellow","Red")))</f>
        <v/>
      </c>
      <c r="M75" s="2" t="str">
        <f aca="true">IF(J75="","",TODAY()-J75)</f>
        <v/>
      </c>
      <c r="N75" s="2"/>
      <c r="O75" s="2"/>
      <c r="P75" s="2"/>
      <c r="Q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 t="str">
        <f aca="false">IF(M76="","",IF(M76&lt;=14,"Green",IF(M76&lt;=30,"Yellow","Red")))</f>
        <v/>
      </c>
      <c r="M76" s="2" t="str">
        <f aca="true">IF(J76="","",TODAY()-J76)</f>
        <v/>
      </c>
      <c r="N76" s="2"/>
      <c r="O76" s="2"/>
      <c r="P76" s="2"/>
      <c r="Q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 t="str">
        <f aca="false">IF(M77="","",IF(M77&lt;=14,"Green",IF(M77&lt;=30,"Yellow","Red")))</f>
        <v/>
      </c>
      <c r="M77" s="2" t="str">
        <f aca="true">IF(J77="","",TODAY()-J77)</f>
        <v/>
      </c>
      <c r="N77" s="2"/>
      <c r="O77" s="2"/>
      <c r="P77" s="2"/>
      <c r="Q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 t="str">
        <f aca="false">IF(M78="","",IF(M78&lt;=14,"Green",IF(M78&lt;=30,"Yellow","Red")))</f>
        <v/>
      </c>
      <c r="M78" s="2" t="str">
        <f aca="true">IF(J78="","",TODAY()-J78)</f>
        <v/>
      </c>
      <c r="N78" s="2"/>
      <c r="O78" s="2"/>
      <c r="P78" s="2"/>
      <c r="Q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 t="str">
        <f aca="false">IF(M79="","",IF(M79&lt;=14,"Green",IF(M79&lt;=30,"Yellow","Red")))</f>
        <v/>
      </c>
      <c r="M79" s="2" t="str">
        <f aca="true">IF(J79="","",TODAY()-J79)</f>
        <v/>
      </c>
      <c r="N79" s="2"/>
      <c r="O79" s="2"/>
      <c r="P79" s="2"/>
      <c r="Q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 t="str">
        <f aca="false">IF(M80="","",IF(M80&lt;=14,"Green",IF(M80&lt;=30,"Yellow","Red")))</f>
        <v/>
      </c>
      <c r="M80" s="2" t="str">
        <f aca="true">IF(J80="","",TODAY()-J80)</f>
        <v/>
      </c>
      <c r="N80" s="2"/>
      <c r="O80" s="2"/>
      <c r="P80" s="2"/>
      <c r="Q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 t="str">
        <f aca="false">IF(M81="","",IF(M81&lt;=14,"Green",IF(M81&lt;=30,"Yellow","Red")))</f>
        <v/>
      </c>
      <c r="M81" s="2" t="str">
        <f aca="true">IF(J81="","",TODAY()-J81)</f>
        <v/>
      </c>
      <c r="N81" s="2"/>
      <c r="O81" s="2"/>
      <c r="P81" s="2"/>
      <c r="Q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 t="str">
        <f aca="false">IF(M82="","",IF(M82&lt;=14,"Green",IF(M82&lt;=30,"Yellow","Red")))</f>
        <v/>
      </c>
      <c r="M82" s="2" t="str">
        <f aca="true">IF(J82="","",TODAY()-J82)</f>
        <v/>
      </c>
      <c r="N82" s="2"/>
      <c r="O82" s="2"/>
      <c r="P82" s="2"/>
      <c r="Q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 t="str">
        <f aca="false">IF(M83="","",IF(M83&lt;=14,"Green",IF(M83&lt;=30,"Yellow","Red")))</f>
        <v/>
      </c>
      <c r="M83" s="2" t="str">
        <f aca="true">IF(J83="","",TODAY()-J83)</f>
        <v/>
      </c>
      <c r="N83" s="2"/>
      <c r="O83" s="2"/>
      <c r="P83" s="2"/>
      <c r="Q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 t="str">
        <f aca="false">IF(M84="","",IF(M84&lt;=14,"Green",IF(M84&lt;=30,"Yellow","Red")))</f>
        <v/>
      </c>
      <c r="M84" s="2" t="str">
        <f aca="true">IF(J84="","",TODAY()-J84)</f>
        <v/>
      </c>
      <c r="N84" s="2"/>
      <c r="O84" s="2"/>
      <c r="P84" s="2"/>
      <c r="Q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 t="str">
        <f aca="false">IF(M85="","",IF(M85&lt;=14,"Green",IF(M85&lt;=30,"Yellow","Red")))</f>
        <v/>
      </c>
      <c r="M85" s="2" t="str">
        <f aca="true">IF(J85="","",TODAY()-J85)</f>
        <v/>
      </c>
      <c r="N85" s="2"/>
      <c r="O85" s="2"/>
      <c r="P85" s="2"/>
      <c r="Q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 t="str">
        <f aca="false">IF(M86="","",IF(M86&lt;=14,"Green",IF(M86&lt;=30,"Yellow","Red")))</f>
        <v/>
      </c>
      <c r="M86" s="2" t="str">
        <f aca="true">IF(J86="","",TODAY()-J86)</f>
        <v/>
      </c>
      <c r="N86" s="2"/>
      <c r="O86" s="2"/>
      <c r="P86" s="2"/>
      <c r="Q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 t="str">
        <f aca="false">IF(M87="","",IF(M87&lt;=14,"Green",IF(M87&lt;=30,"Yellow","Red")))</f>
        <v/>
      </c>
      <c r="M87" s="2" t="str">
        <f aca="true">IF(J87="","",TODAY()-J87)</f>
        <v/>
      </c>
      <c r="N87" s="2"/>
      <c r="O87" s="2"/>
      <c r="P87" s="2"/>
      <c r="Q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 t="str">
        <f aca="false">IF(M88="","",IF(M88&lt;=14,"Green",IF(M88&lt;=30,"Yellow","Red")))</f>
        <v/>
      </c>
      <c r="M88" s="2" t="str">
        <f aca="true">IF(J88="","",TODAY()-J88)</f>
        <v/>
      </c>
      <c r="N88" s="2"/>
      <c r="O88" s="2"/>
      <c r="P88" s="2"/>
      <c r="Q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 t="str">
        <f aca="false">IF(M89="","",IF(M89&lt;=14,"Green",IF(M89&lt;=30,"Yellow","Red")))</f>
        <v/>
      </c>
      <c r="M89" s="2" t="str">
        <f aca="true">IF(J89="","",TODAY()-J89)</f>
        <v/>
      </c>
      <c r="N89" s="2"/>
      <c r="O89" s="2"/>
      <c r="P89" s="2"/>
      <c r="Q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 t="str">
        <f aca="false">IF(M90="","",IF(M90&lt;=14,"Green",IF(M90&lt;=30,"Yellow","Red")))</f>
        <v/>
      </c>
      <c r="M90" s="2" t="str">
        <f aca="true">IF(J90="","",TODAY()-J90)</f>
        <v/>
      </c>
      <c r="N90" s="2"/>
      <c r="O90" s="2"/>
      <c r="P90" s="2"/>
      <c r="Q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 t="str">
        <f aca="false">IF(M91="","",IF(M91&lt;=14,"Green",IF(M91&lt;=30,"Yellow","Red")))</f>
        <v/>
      </c>
      <c r="M91" s="2" t="str">
        <f aca="true">IF(J91="","",TODAY()-J91)</f>
        <v/>
      </c>
      <c r="N91" s="2"/>
      <c r="O91" s="2"/>
      <c r="P91" s="2"/>
      <c r="Q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 t="str">
        <f aca="false">IF(M92="","",IF(M92&lt;=14,"Green",IF(M92&lt;=30,"Yellow","Red")))</f>
        <v/>
      </c>
      <c r="M92" s="2" t="str">
        <f aca="true">IF(J92="","",TODAY()-J92)</f>
        <v/>
      </c>
      <c r="N92" s="2"/>
      <c r="O92" s="2"/>
      <c r="P92" s="2"/>
      <c r="Q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 t="str">
        <f aca="false">IF(M93="","",IF(M93&lt;=14,"Green",IF(M93&lt;=30,"Yellow","Red")))</f>
        <v/>
      </c>
      <c r="M93" s="2" t="str">
        <f aca="true">IF(J93="","",TODAY()-J93)</f>
        <v/>
      </c>
      <c r="N93" s="2"/>
      <c r="O93" s="2"/>
      <c r="P93" s="2"/>
      <c r="Q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 t="str">
        <f aca="false">IF(M94="","",IF(M94&lt;=14,"Green",IF(M94&lt;=30,"Yellow","Red")))</f>
        <v/>
      </c>
      <c r="M94" s="2" t="str">
        <f aca="true">IF(J94="","",TODAY()-J94)</f>
        <v/>
      </c>
      <c r="N94" s="2"/>
      <c r="O94" s="2"/>
      <c r="P94" s="2"/>
      <c r="Q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 t="str">
        <f aca="false">IF(M95="","",IF(M95&lt;=14,"Green",IF(M95&lt;=30,"Yellow","Red")))</f>
        <v/>
      </c>
      <c r="M95" s="2" t="str">
        <f aca="true">IF(J95="","",TODAY()-J95)</f>
        <v/>
      </c>
      <c r="N95" s="2"/>
      <c r="O95" s="2"/>
      <c r="P95" s="2"/>
      <c r="Q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 t="str">
        <f aca="false">IF(M96="","",IF(M96&lt;=14,"Green",IF(M96&lt;=30,"Yellow","Red")))</f>
        <v/>
      </c>
      <c r="M96" s="2" t="str">
        <f aca="true">IF(J96="","",TODAY()-J96)</f>
        <v/>
      </c>
      <c r="N96" s="2"/>
      <c r="O96" s="2"/>
      <c r="P96" s="2"/>
      <c r="Q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 t="str">
        <f aca="false">IF(M97="","",IF(M97&lt;=14,"Green",IF(M97&lt;=30,"Yellow","Red")))</f>
        <v/>
      </c>
      <c r="M97" s="2" t="str">
        <f aca="true">IF(J97="","",TODAY()-J97)</f>
        <v/>
      </c>
      <c r="N97" s="2"/>
      <c r="O97" s="2"/>
      <c r="P97" s="2"/>
      <c r="Q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 t="str">
        <f aca="false">IF(M98="","",IF(M98&lt;=14,"Green",IF(M98&lt;=30,"Yellow","Red")))</f>
        <v/>
      </c>
      <c r="M98" s="2" t="str">
        <f aca="true">IF(J98="","",TODAY()-J98)</f>
        <v/>
      </c>
      <c r="N98" s="2"/>
      <c r="O98" s="2"/>
      <c r="P98" s="2"/>
      <c r="Q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 t="str">
        <f aca="false">IF(M99="","",IF(M99&lt;=14,"Green",IF(M99&lt;=30,"Yellow","Red")))</f>
        <v/>
      </c>
      <c r="M99" s="2" t="str">
        <f aca="true">IF(J99="","",TODAY()-J99)</f>
        <v/>
      </c>
      <c r="N99" s="2"/>
      <c r="O99" s="2"/>
      <c r="P99" s="2"/>
      <c r="Q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 t="str">
        <f aca="false">IF(M100="","",IF(M100&lt;=14,"Green",IF(M100&lt;=30,"Yellow","Red")))</f>
        <v/>
      </c>
      <c r="M100" s="2" t="str">
        <f aca="true">IF(J100="","",TODAY()-J100)</f>
        <v/>
      </c>
      <c r="N100" s="2"/>
      <c r="O100" s="2"/>
      <c r="P100" s="2"/>
      <c r="Q100" s="2"/>
    </row>
  </sheetData>
  <autoFilter ref="A1:Q1"/>
  <dataValidations count="2">
    <dataValidation allowBlank="true" errorStyle="stop" operator="between" showDropDown="false" showErrorMessage="false" showInputMessage="false" sqref="G2:G1000" type="list">
      <formula1>"Collaborator,Advisor,Funder,Institutional Partner,Student/Intern,Vendor,Government,Other"</formula1>
      <formula2>0</formula2>
    </dataValidation>
    <dataValidation allowBlank="true" errorStyle="stop" operator="between" showDropDown="false" showErrorMessage="false" showInputMessage="false" sqref="H2:H1000" type="list">
      <formula1>"WS1: Partnerships,WS2: Education,WS3: Research,WS4: Website,WS5: Program Management,Multiple"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916C"/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2"/>
  </cols>
  <sheetData>
    <row r="1" customFormat="false" ht="19.7" hidden="false" customHeight="false" outlineLevel="0" collapsed="false">
      <c r="A1" s="3" t="s">
        <v>29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4" t="s">
        <v>30</v>
      </c>
      <c r="B2" s="4"/>
      <c r="C2" s="4"/>
      <c r="D2" s="4"/>
      <c r="E2" s="4"/>
      <c r="F2" s="4"/>
      <c r="G2" s="4"/>
    </row>
    <row r="4" customFormat="false" ht="15" hidden="false" customHeight="false" outlineLevel="0" collapsed="false">
      <c r="A4" s="5" t="s">
        <v>31</v>
      </c>
      <c r="B4" s="5"/>
      <c r="C4" s="5"/>
      <c r="D4" s="5"/>
      <c r="E4" s="5"/>
      <c r="F4" s="5"/>
      <c r="G4" s="5"/>
    </row>
    <row r="5" customFormat="false" ht="15" hidden="false" customHeight="false" outlineLevel="0" collapsed="false">
      <c r="A5" s="6" t="s">
        <v>32</v>
      </c>
      <c r="B5" s="6" t="s">
        <v>33</v>
      </c>
      <c r="C5" s="6" t="s">
        <v>34</v>
      </c>
      <c r="D5" s="6" t="s">
        <v>35</v>
      </c>
      <c r="E5" s="6" t="s">
        <v>7</v>
      </c>
      <c r="F5" s="6" t="s">
        <v>14</v>
      </c>
      <c r="G5" s="6" t="s">
        <v>36</v>
      </c>
    </row>
    <row r="12" customFormat="false" ht="15" hidden="false" customHeight="false" outlineLevel="0" collapsed="false">
      <c r="A12" s="7" t="s">
        <v>37</v>
      </c>
      <c r="B12" s="7"/>
      <c r="C12" s="7"/>
      <c r="D12" s="7"/>
      <c r="E12" s="7"/>
      <c r="F12" s="7"/>
      <c r="G12" s="7"/>
    </row>
    <row r="13" customFormat="false" ht="15" hidden="false" customHeight="false" outlineLevel="0" collapsed="false">
      <c r="A13" s="6" t="s">
        <v>33</v>
      </c>
      <c r="B13" s="6" t="s">
        <v>1</v>
      </c>
      <c r="C13" s="6" t="s">
        <v>38</v>
      </c>
      <c r="D13" s="6" t="s">
        <v>39</v>
      </c>
      <c r="E13" s="6" t="s">
        <v>9</v>
      </c>
      <c r="F13" s="6" t="s">
        <v>23</v>
      </c>
      <c r="G13" s="6" t="s">
        <v>40</v>
      </c>
    </row>
    <row r="20" customFormat="false" ht="15" hidden="false" customHeight="false" outlineLevel="0" collapsed="false">
      <c r="A20" s="8" t="s">
        <v>41</v>
      </c>
      <c r="B20" s="8"/>
      <c r="C20" s="8"/>
      <c r="D20" s="8"/>
      <c r="E20" s="8"/>
      <c r="F20" s="8"/>
      <c r="G20" s="8"/>
    </row>
    <row r="21" customFormat="false" ht="15" hidden="false" customHeight="false" outlineLevel="0" collapsed="false">
      <c r="A21" s="6" t="s">
        <v>33</v>
      </c>
      <c r="B21" s="6" t="s">
        <v>42</v>
      </c>
      <c r="C21" s="6" t="s">
        <v>43</v>
      </c>
      <c r="D21" s="6" t="s">
        <v>40</v>
      </c>
      <c r="E21" s="6" t="s">
        <v>44</v>
      </c>
      <c r="F21" s="6" t="s">
        <v>5</v>
      </c>
      <c r="G21" s="6" t="s">
        <v>32</v>
      </c>
    </row>
    <row r="28" customFormat="false" ht="15" hidden="false" customHeight="false" outlineLevel="0" collapsed="false">
      <c r="A28" s="9" t="s">
        <v>45</v>
      </c>
      <c r="B28" s="9"/>
      <c r="C28" s="9"/>
      <c r="D28" s="9"/>
      <c r="E28" s="9"/>
      <c r="F28" s="9"/>
      <c r="G28" s="9"/>
    </row>
    <row r="29" customFormat="false" ht="15" hidden="false" customHeight="false" outlineLevel="0" collapsed="false">
      <c r="A29" s="10" t="s">
        <v>46</v>
      </c>
      <c r="C29" s="11" t="n">
        <v>0</v>
      </c>
    </row>
    <row r="30" customFormat="false" ht="15" hidden="false" customHeight="false" outlineLevel="0" collapsed="false">
      <c r="A30" s="10" t="s">
        <v>47</v>
      </c>
      <c r="C30" s="11" t="n">
        <v>0</v>
      </c>
    </row>
    <row r="31" customFormat="false" ht="15" hidden="false" customHeight="false" outlineLevel="0" collapsed="false">
      <c r="A31" s="10" t="s">
        <v>48</v>
      </c>
      <c r="C31" s="11" t="n">
        <v>0</v>
      </c>
    </row>
    <row r="32" customFormat="false" ht="15" hidden="false" customHeight="false" outlineLevel="0" collapsed="false">
      <c r="A32" s="10" t="s">
        <v>49</v>
      </c>
      <c r="C32" s="11" t="n">
        <v>0</v>
      </c>
    </row>
    <row r="33" customFormat="false" ht="15" hidden="false" customHeight="false" outlineLevel="0" collapsed="false">
      <c r="A33" s="10" t="s">
        <v>50</v>
      </c>
      <c r="C33" s="11" t="n">
        <v>0</v>
      </c>
    </row>
    <row r="34" customFormat="false" ht="15" hidden="false" customHeight="false" outlineLevel="0" collapsed="false">
      <c r="A34" s="10" t="s">
        <v>51</v>
      </c>
      <c r="C34" s="11" t="n">
        <v>0</v>
      </c>
    </row>
  </sheetData>
  <mergeCells count="6">
    <mergeCell ref="A1:G1"/>
    <mergeCell ref="A2:G2"/>
    <mergeCell ref="A4:G4"/>
    <mergeCell ref="A12:G12"/>
    <mergeCell ref="A20:G20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2B788"/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2" t="s">
        <v>52</v>
      </c>
      <c r="B1" s="12"/>
      <c r="C1" s="12"/>
      <c r="D1" s="12"/>
      <c r="E1" s="12"/>
    </row>
    <row r="3" customFormat="false" ht="26.85" hidden="false" customHeight="false" outlineLevel="0" collapsed="false">
      <c r="A3" s="1" t="s">
        <v>5</v>
      </c>
      <c r="B3" s="1" t="s">
        <v>53</v>
      </c>
      <c r="C3" s="1" t="s">
        <v>54</v>
      </c>
      <c r="D3" s="1" t="s">
        <v>55</v>
      </c>
      <c r="E3" s="1" t="s">
        <v>56</v>
      </c>
    </row>
    <row r="4" customFormat="false" ht="15" hidden="false" customHeight="false" outlineLevel="0" collapsed="false">
      <c r="A4" s="13" t="s">
        <v>57</v>
      </c>
      <c r="B4" s="14"/>
      <c r="C4" s="14"/>
      <c r="D4" s="14"/>
      <c r="E4" s="14"/>
    </row>
    <row r="5" customFormat="false" ht="15" hidden="false" customHeight="false" outlineLevel="0" collapsed="false">
      <c r="A5" s="13" t="s">
        <v>58</v>
      </c>
      <c r="B5" s="14"/>
      <c r="C5" s="14"/>
      <c r="D5" s="14"/>
      <c r="E5" s="14"/>
    </row>
    <row r="6" customFormat="false" ht="15" hidden="false" customHeight="false" outlineLevel="0" collapsed="false">
      <c r="A6" s="13" t="s">
        <v>59</v>
      </c>
      <c r="B6" s="14"/>
      <c r="C6" s="14"/>
      <c r="D6" s="14"/>
      <c r="E6" s="14"/>
    </row>
    <row r="7" customFormat="false" ht="15" hidden="false" customHeight="false" outlineLevel="0" collapsed="false">
      <c r="A7" s="13" t="s">
        <v>60</v>
      </c>
      <c r="B7" s="14"/>
      <c r="C7" s="14"/>
      <c r="D7" s="14"/>
      <c r="E7" s="14"/>
    </row>
    <row r="8" customFormat="false" ht="23.85" hidden="false" customHeight="false" outlineLevel="0" collapsed="false">
      <c r="A8" s="13" t="s">
        <v>61</v>
      </c>
      <c r="B8" s="14"/>
      <c r="C8" s="14"/>
      <c r="D8" s="14"/>
      <c r="E8" s="14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D5B2"/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26.85" hidden="false" customHeight="false" outlineLevel="0" collapsed="false">
      <c r="A1" s="1" t="s">
        <v>62</v>
      </c>
      <c r="B1" s="1" t="s">
        <v>63</v>
      </c>
      <c r="C1" s="1" t="s">
        <v>33</v>
      </c>
      <c r="D1" s="1" t="s">
        <v>64</v>
      </c>
      <c r="E1" s="1" t="s">
        <v>40</v>
      </c>
      <c r="F1" s="1" t="s">
        <v>44</v>
      </c>
      <c r="G1" s="1" t="s">
        <v>9</v>
      </c>
      <c r="H1" s="1" t="s">
        <v>65</v>
      </c>
    </row>
  </sheetData>
  <autoFilter ref="A1:H1"/>
  <dataValidations count="3">
    <dataValidation allowBlank="true" errorStyle="stop" operator="between" showDropDown="false" showErrorMessage="false" showInputMessage="false" sqref="B2:B1000" type="list">
      <formula1>"Stale Relationship,No Response,Collaboration Match,Follow-Up Gap,Publication Alert,Meeting Commitment"</formula1>
      <formula2>0</formula2>
    </dataValidation>
    <dataValidation allowBlank="true" errorStyle="stop" operator="between" showDropDown="false" showErrorMessage="false" showInputMessage="false" sqref="F2:F1000" type="list">
      <formula1>"High,Medium,Low"</formula1>
      <formula2>0</formula2>
    </dataValidation>
    <dataValidation allowBlank="true" errorStyle="stop" operator="between" showDropDown="false" showErrorMessage="false" showInputMessage="false" sqref="G2:G1000" type="list">
      <formula1>"New,Reviewed,Actioned,Dismissed"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2026-04-09T04:14:12Z</dcterms:created>
  <dc:creator>openpyxl</dc:creator>
  <dc:description/>
  <dc:language>en-US</dc:language>
  <cp:lastModifiedBy/>
  <dcterms:modified xsi:type="dcterms:W3CDTF">2026-04-09T04:14:12Z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